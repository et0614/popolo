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oga\OneDrive\デスクトップ\"/>
    </mc:Choice>
  </mc:AlternateContent>
  <xr:revisionPtr revIDLastSave="0" documentId="13_ncr:1_{310920C4-2E9D-4E31-B7F2-ACE07B057921}" xr6:coauthVersionLast="47" xr6:coauthVersionMax="47" xr10:uidLastSave="{00000000-0000-0000-0000-000000000000}"/>
  <bookViews>
    <workbookView xWindow="54650" yWindow="6470" windowWidth="20630" windowHeight="14590" xr2:uid="{DB5D79AC-977B-48A1-B897-A2603E6A8E6C}"/>
  </bookViews>
  <sheets>
    <sheet name="入射角特性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2" l="1"/>
  <c r="E3" i="2"/>
  <c r="F3" i="2"/>
  <c r="G3" i="2"/>
  <c r="E4" i="2"/>
  <c r="F4" i="2"/>
  <c r="G4" i="2"/>
  <c r="H4" i="2"/>
  <c r="I4" i="2"/>
  <c r="J4" i="2"/>
  <c r="K4" i="2"/>
  <c r="E5" i="2"/>
  <c r="F5" i="2"/>
  <c r="G5" i="2"/>
  <c r="H5" i="2"/>
  <c r="I5" i="2"/>
  <c r="J5" i="2"/>
  <c r="K5" i="2"/>
  <c r="E6" i="2"/>
  <c r="F6" i="2"/>
  <c r="G6" i="2"/>
  <c r="H6" i="2"/>
  <c r="I6" i="2"/>
  <c r="J6" i="2"/>
  <c r="K6" i="2"/>
  <c r="E7" i="2"/>
  <c r="F7" i="2"/>
  <c r="G7" i="2"/>
  <c r="H7" i="2"/>
  <c r="I7" i="2"/>
  <c r="J7" i="2"/>
  <c r="K7" i="2"/>
  <c r="E8" i="2"/>
  <c r="F8" i="2"/>
  <c r="G8" i="2"/>
  <c r="H8" i="2"/>
  <c r="I8" i="2"/>
  <c r="J8" i="2"/>
  <c r="K8" i="2"/>
  <c r="E9" i="2"/>
  <c r="F9" i="2"/>
  <c r="G9" i="2"/>
  <c r="H9" i="2"/>
  <c r="I9" i="2"/>
  <c r="J9" i="2"/>
  <c r="K9" i="2"/>
  <c r="E10" i="2"/>
  <c r="F10" i="2"/>
  <c r="G10" i="2"/>
  <c r="H10" i="2"/>
  <c r="I10" i="2"/>
  <c r="J10" i="2"/>
  <c r="K10" i="2"/>
  <c r="E11" i="2"/>
  <c r="F11" i="2"/>
  <c r="G11" i="2"/>
  <c r="H11" i="2"/>
  <c r="I11" i="2"/>
  <c r="J11" i="2"/>
  <c r="K11" i="2"/>
  <c r="E12" i="2"/>
  <c r="F12" i="2"/>
  <c r="G12" i="2"/>
  <c r="H12" i="2"/>
  <c r="I12" i="2"/>
  <c r="J12" i="2"/>
  <c r="K12" i="2"/>
  <c r="G13" i="2"/>
  <c r="H13" i="2"/>
  <c r="I13" i="2"/>
  <c r="J13" i="2"/>
  <c r="K13" i="2"/>
  <c r="O3" i="2" l="1" a="1"/>
  <c r="O4" i="2" a="1"/>
  <c r="H3" i="2"/>
  <c r="I3" i="2"/>
  <c r="J3" i="2"/>
  <c r="K3" i="2"/>
  <c r="S3" i="2" l="1"/>
  <c r="O7" i="2" s="1"/>
  <c r="R3" i="2"/>
  <c r="P7" i="2" s="1"/>
  <c r="Q3" i="2"/>
  <c r="Q7" i="2" s="1"/>
  <c r="P3" i="2"/>
  <c r="R7" i="2" s="1"/>
  <c r="O3" i="2"/>
  <c r="S7" i="2" s="1"/>
  <c r="S4" i="2"/>
  <c r="R4" i="2"/>
  <c r="P8" i="2" s="1"/>
  <c r="Q4" i="2"/>
  <c r="Q8" i="2" s="1"/>
  <c r="P4" i="2"/>
  <c r="R8" i="2" s="1"/>
  <c r="O4" i="2"/>
  <c r="S8" i="2" s="1"/>
  <c r="L13" i="2" l="1"/>
  <c r="L5" i="2"/>
  <c r="L12" i="2"/>
  <c r="L6" i="2"/>
  <c r="L4" i="2"/>
  <c r="L11" i="2"/>
  <c r="L3" i="2"/>
  <c r="M11" i="2"/>
  <c r="L10" i="2"/>
  <c r="L9" i="2"/>
  <c r="L8" i="2"/>
  <c r="L7" i="2"/>
  <c r="M7" i="2"/>
  <c r="M6" i="2"/>
  <c r="M5" i="2"/>
  <c r="M4" i="2"/>
  <c r="M3" i="2"/>
  <c r="M12" i="2"/>
  <c r="M13" i="2"/>
  <c r="M10" i="2"/>
  <c r="M9" i="2"/>
  <c r="M8" i="2"/>
</calcChain>
</file>

<file path=xl/sharedStrings.xml><?xml version="1.0" encoding="utf-8"?>
<sst xmlns="http://schemas.openxmlformats.org/spreadsheetml/2006/main" count="18" uniqueCount="16">
  <si>
    <t>係数</t>
    <rPh sb="0" eb="2">
      <t>ケイスウ</t>
    </rPh>
    <phoneticPr fontId="3"/>
  </si>
  <si>
    <t>τn(θ)</t>
    <phoneticPr fontId="3"/>
  </si>
  <si>
    <t>ρn(θ)</t>
    <phoneticPr fontId="3"/>
  </si>
  <si>
    <t>cosθ^5</t>
  </si>
  <si>
    <t>cosθ^4</t>
  </si>
  <si>
    <t>cosθ^3</t>
  </si>
  <si>
    <t>cosθ^2</t>
    <phoneticPr fontId="3"/>
  </si>
  <si>
    <t>cosθ</t>
    <phoneticPr fontId="3"/>
  </si>
  <si>
    <t>τg(θ)</t>
    <phoneticPr fontId="3"/>
  </si>
  <si>
    <t>ρg(θ)</t>
    <phoneticPr fontId="3"/>
  </si>
  <si>
    <t>入射角</t>
    <rPh sb="0" eb="3">
      <t>ニュウシャカク</t>
    </rPh>
    <phoneticPr fontId="2"/>
  </si>
  <si>
    <t>反射率</t>
    <rPh sb="0" eb="3">
      <t>ハンシャリツ</t>
    </rPh>
    <phoneticPr fontId="2"/>
  </si>
  <si>
    <t>透過率</t>
    <rPh sb="0" eb="3">
      <t>トウカリツ</t>
    </rPh>
    <phoneticPr fontId="2"/>
  </si>
  <si>
    <t>正規化反射率</t>
    <rPh sb="0" eb="3">
      <t>セイキカ</t>
    </rPh>
    <rPh sb="3" eb="6">
      <t>ハンシャリツ</t>
    </rPh>
    <phoneticPr fontId="2"/>
  </si>
  <si>
    <t>正規化透過率</t>
    <rPh sb="0" eb="3">
      <t>セイキカ</t>
    </rPh>
    <rPh sb="3" eb="6">
      <t>トウカリツ</t>
    </rPh>
    <phoneticPr fontId="2"/>
  </si>
  <si>
    <t>係数（順番変更）</t>
    <rPh sb="0" eb="2">
      <t>ケイスウ</t>
    </rPh>
    <rPh sb="3" eb="5">
      <t>ジュンバン</t>
    </rPh>
    <rPh sb="5" eb="7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</si>
</sst>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_ "/>
    <numFmt numFmtId="179" formatCode="0.0000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177" fontId="1" fillId="0" borderId="0" xfId="1" applyNumberFormat="1">
      <alignment vertical="center"/>
    </xf>
    <xf numFmtId="179" fontId="1" fillId="0" borderId="0" xfId="1" applyNumberFormat="1">
      <alignment vertical="center"/>
    </xf>
  </cellXfs>
  <cellStyles count="2">
    <cellStyle name="標準" xfId="0" builtinId="0"/>
    <cellStyle name="標準 2" xfId="1" xr:uid="{6CEA1EA7-60F1-40DA-8133-EC299E572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3B6F-71DC-4BD4-9AD2-E2087B09C505}">
  <dimension ref="B1:S13"/>
  <sheetViews>
    <sheetView tabSelected="1" workbookViewId="0">
      <selection activeCell="Q14" sqref="Q14"/>
    </sheetView>
  </sheetViews>
  <sheetFormatPr defaultRowHeight="12.9" x14ac:dyDescent="0.85"/>
  <cols>
    <col min="1" max="1" width="2.234375" style="1" customWidth="1"/>
    <col min="2" max="2" width="10.1875" style="1" customWidth="1"/>
    <col min="3" max="13" width="8.76171875" style="1"/>
    <col min="14" max="14" width="1.90234375" style="1" customWidth="1"/>
    <col min="15" max="15" width="8.140625" style="1" bestFit="1" customWidth="1"/>
    <col min="16" max="16" width="9.046875" style="1" bestFit="1" customWidth="1"/>
    <col min="17" max="17" width="8.140625" style="1" bestFit="1" customWidth="1"/>
    <col min="18" max="18" width="9.046875" style="1" bestFit="1" customWidth="1"/>
    <col min="19" max="19" width="8.140625" style="1" bestFit="1" customWidth="1"/>
    <col min="20" max="16384" width="8.76171875" style="1"/>
  </cols>
  <sheetData>
    <row r="1" spans="2:19" x14ac:dyDescent="0.85">
      <c r="C1" s="1" t="s">
        <v>11</v>
      </c>
      <c r="D1" s="1" t="s">
        <v>12</v>
      </c>
      <c r="E1" s="1" t="s">
        <v>13</v>
      </c>
      <c r="F1" s="1" t="s">
        <v>14</v>
      </c>
    </row>
    <row r="2" spans="2:19" x14ac:dyDescent="0.85">
      <c r="B2" s="1" t="s">
        <v>10</v>
      </c>
      <c r="C2" s="1" t="s">
        <v>9</v>
      </c>
      <c r="D2" s="1" t="s">
        <v>8</v>
      </c>
      <c r="E2" s="1" t="s">
        <v>2</v>
      </c>
      <c r="F2" s="1" t="s">
        <v>1</v>
      </c>
      <c r="G2" s="1" t="s">
        <v>7</v>
      </c>
      <c r="H2" s="1" t="s">
        <v>6</v>
      </c>
      <c r="I2" s="1" t="s">
        <v>5</v>
      </c>
      <c r="J2" s="1" t="s">
        <v>4</v>
      </c>
      <c r="K2" s="1" t="s">
        <v>3</v>
      </c>
      <c r="L2" s="1" t="s">
        <v>2</v>
      </c>
      <c r="M2" s="1" t="s">
        <v>1</v>
      </c>
      <c r="O2" s="1" t="s">
        <v>0</v>
      </c>
    </row>
    <row r="3" spans="2:19" x14ac:dyDescent="0.85">
      <c r="B3" s="1">
        <v>0</v>
      </c>
      <c r="C3" s="4">
        <v>3.9100000000000003E-2</v>
      </c>
      <c r="D3" s="4">
        <v>0.83445999999999998</v>
      </c>
      <c r="E3" s="2">
        <f>(1-C3)/(1-$C$3)</f>
        <v>1</v>
      </c>
      <c r="F3" s="2">
        <f>D3/$D$3</f>
        <v>1</v>
      </c>
      <c r="G3" s="2">
        <f>COS(RADIANS(B3))</f>
        <v>1</v>
      </c>
      <c r="H3" s="3">
        <f>G3^2</f>
        <v>1</v>
      </c>
      <c r="I3" s="3">
        <f>G3^3</f>
        <v>1</v>
      </c>
      <c r="J3" s="3">
        <f>G3^4</f>
        <v>1</v>
      </c>
      <c r="K3" s="3">
        <f>G3^5</f>
        <v>1</v>
      </c>
      <c r="L3" s="2">
        <f>SUMPRODUCT(G3:K3,$O$7:$S$7)</f>
        <v>1.0008437732572979</v>
      </c>
      <c r="M3" s="2">
        <f>SUMPRODUCT(G3:K3,$O$8:$S$8)</f>
        <v>0.99920705808125687</v>
      </c>
      <c r="O3" s="2">
        <f t="array" ref="O3:S3">LINEST(E3:E12,G3:K12,FALSE)</f>
        <v>4.1276864639908926</v>
      </c>
      <c r="P3" s="2">
        <v>-14.299591790238498</v>
      </c>
      <c r="Q3" s="2">
        <v>19.938225344519118</v>
      </c>
      <c r="R3" s="2">
        <v>-14.40937827634216</v>
      </c>
      <c r="S3" s="2">
        <v>5.6439020313279453</v>
      </c>
    </row>
    <row r="4" spans="2:19" x14ac:dyDescent="0.85">
      <c r="B4" s="1">
        <v>10</v>
      </c>
      <c r="C4" s="4">
        <v>3.9100000000000003E-2</v>
      </c>
      <c r="D4" s="4">
        <v>0.83384999999999998</v>
      </c>
      <c r="E4" s="2">
        <f>(1-C4)/(1-$C$3)</f>
        <v>1</v>
      </c>
      <c r="F4" s="2">
        <f>D4/$D$3</f>
        <v>0.99926898832778088</v>
      </c>
      <c r="G4" s="2">
        <f>COS(RADIANS(B4))</f>
        <v>0.98480775301220802</v>
      </c>
      <c r="H4" s="3">
        <f>G4^2</f>
        <v>0.9698463103929541</v>
      </c>
      <c r="I4" s="3">
        <f>G4^3</f>
        <v>0.95511216570526558</v>
      </c>
      <c r="J4" s="3">
        <f>G4^4</f>
        <v>0.94060186578282623</v>
      </c>
      <c r="K4" s="3">
        <f>G4^5</f>
        <v>0.92631200992067553</v>
      </c>
      <c r="L4" s="2">
        <f>SUMPRODUCT(G4:K4,$O$7:$S$7)</f>
        <v>0.99982053740020582</v>
      </c>
      <c r="M4" s="2">
        <f>SUMPRODUCT(G4:K4,$O$8:$S$8)</f>
        <v>0.99940062605610103</v>
      </c>
      <c r="O4" s="2">
        <f t="array" ref="O4:S4">LINEST(F3:F12,G3:K12,FALSE)</f>
        <v>-1.8318387131763205</v>
      </c>
      <c r="P4" s="2">
        <v>4.2774407279290552</v>
      </c>
      <c r="Q4" s="2">
        <v>-1.7580010858713826</v>
      </c>
      <c r="R4" s="2">
        <v>-3.0145615304526365</v>
      </c>
      <c r="S4" s="2">
        <v>3.3261676596525414</v>
      </c>
    </row>
    <row r="5" spans="2:19" x14ac:dyDescent="0.85">
      <c r="B5" s="1">
        <v>20</v>
      </c>
      <c r="C5" s="4">
        <v>3.9399999999999998E-2</v>
      </c>
      <c r="D5" s="4">
        <v>0.83174999999999999</v>
      </c>
      <c r="E5" s="2">
        <f>(1-C5)/(1-$C$3)</f>
        <v>0.99968779269434904</v>
      </c>
      <c r="F5" s="2">
        <f>D5/$D$3</f>
        <v>0.99675239076768207</v>
      </c>
      <c r="G5" s="2">
        <f>COS(RADIANS(B5))</f>
        <v>0.93969262078590843</v>
      </c>
      <c r="H5" s="3">
        <f>G5^2</f>
        <v>0.88302222155948906</v>
      </c>
      <c r="I5" s="3">
        <f>G5^3</f>
        <v>0.82976946558943132</v>
      </c>
      <c r="J5" s="3">
        <f>G5^4</f>
        <v>0.77972824376785543</v>
      </c>
      <c r="K5" s="3">
        <f>G5^5</f>
        <v>0.73270487688700969</v>
      </c>
      <c r="L5" s="2">
        <f>SUMPRODUCT(G5:K5,$O$7:$S$7)</f>
        <v>0.99844287256077369</v>
      </c>
      <c r="M5" s="2">
        <f>SUMPRODUCT(G5:K5,$O$8:$S$8)</f>
        <v>0.99795895188953554</v>
      </c>
    </row>
    <row r="6" spans="2:19" x14ac:dyDescent="0.85">
      <c r="B6" s="1">
        <v>30</v>
      </c>
      <c r="C6" s="4">
        <v>4.0599999999999997E-2</v>
      </c>
      <c r="D6" s="4">
        <v>0.82713000000000003</v>
      </c>
      <c r="E6" s="2">
        <f>(1-C6)/(1-$C$3)</f>
        <v>0.99843896347174532</v>
      </c>
      <c r="F6" s="2">
        <f>D6/$D$3</f>
        <v>0.99121587613546491</v>
      </c>
      <c r="G6" s="2">
        <f>COS(RADIANS(B6))</f>
        <v>0.86602540378443871</v>
      </c>
      <c r="H6" s="3">
        <f>G6^2</f>
        <v>0.75000000000000011</v>
      </c>
      <c r="I6" s="3">
        <f>G6^3</f>
        <v>0.64951905283832911</v>
      </c>
      <c r="J6" s="3">
        <f>G6^4</f>
        <v>0.56250000000000022</v>
      </c>
      <c r="K6" s="3">
        <f>G6^5</f>
        <v>0.48713928962874697</v>
      </c>
      <c r="L6" s="2">
        <f>SUMPRODUCT(G6:K6,$O$7:$S$7)</f>
        <v>0.99822393926276209</v>
      </c>
      <c r="M6" s="2">
        <f>SUMPRODUCT(G6:K6,$O$8:$S$8)</f>
        <v>0.99146914249086471</v>
      </c>
      <c r="O6" s="1" t="s">
        <v>15</v>
      </c>
    </row>
    <row r="7" spans="2:19" x14ac:dyDescent="0.85">
      <c r="B7" s="1">
        <v>40</v>
      </c>
      <c r="C7" s="4">
        <v>4.48E-2</v>
      </c>
      <c r="D7" s="4">
        <v>0.81740999999999997</v>
      </c>
      <c r="E7" s="2">
        <f>(1-C7)/(1-$C$3)</f>
        <v>0.99406806119263202</v>
      </c>
      <c r="F7" s="2">
        <f>D7/$D$3</f>
        <v>0.9795676245715792</v>
      </c>
      <c r="G7" s="2">
        <f>COS(RADIANS(B7))</f>
        <v>0.76604444311897801</v>
      </c>
      <c r="H7" s="3">
        <f>G7^2</f>
        <v>0.58682408883346515</v>
      </c>
      <c r="I7" s="3">
        <f>G7^3</f>
        <v>0.44953333233923348</v>
      </c>
      <c r="J7" s="3">
        <f>G7^4</f>
        <v>0.3443625112352266</v>
      </c>
      <c r="K7" s="3">
        <f>G7^5</f>
        <v>0.263796988150242</v>
      </c>
      <c r="L7" s="2">
        <f>SUMPRODUCT(G7:K7,$O$7:$S$7)</f>
        <v>0.9952343096918721</v>
      </c>
      <c r="M7" s="2">
        <f>SUMPRODUCT(G7:K7,$O$8:$S$8)</f>
        <v>0.97845153824740416</v>
      </c>
      <c r="O7" s="2">
        <f>S3</f>
        <v>5.6439020313279453</v>
      </c>
      <c r="P7" s="2">
        <f>R3</f>
        <v>-14.40937827634216</v>
      </c>
      <c r="Q7" s="2">
        <f>Q3</f>
        <v>19.938225344519118</v>
      </c>
      <c r="R7" s="2">
        <f>P3</f>
        <v>-14.299591790238498</v>
      </c>
      <c r="S7" s="2">
        <f>O3</f>
        <v>4.1276864639908926</v>
      </c>
    </row>
    <row r="8" spans="2:19" x14ac:dyDescent="0.85">
      <c r="B8" s="1">
        <v>45</v>
      </c>
      <c r="C8" s="4">
        <v>4.9299999999999997E-2</v>
      </c>
      <c r="D8" s="4">
        <v>0.80896000000000001</v>
      </c>
      <c r="E8" s="2">
        <f>(1-C8)/(1-$C$3)</f>
        <v>0.98938495160786766</v>
      </c>
      <c r="F8" s="2">
        <f>D8/$D$3</f>
        <v>0.96944131534165812</v>
      </c>
      <c r="G8" s="2">
        <f>COS(RADIANS(B8))</f>
        <v>0.70710678118654757</v>
      </c>
      <c r="H8" s="3">
        <f>G8^2</f>
        <v>0.50000000000000011</v>
      </c>
      <c r="I8" s="3">
        <f>G8^3</f>
        <v>0.35355339059327384</v>
      </c>
      <c r="J8" s="3">
        <f>G8^4</f>
        <v>0.25000000000000011</v>
      </c>
      <c r="K8" s="3">
        <f>G8^5</f>
        <v>0.17677669529663698</v>
      </c>
      <c r="L8" s="2">
        <f>SUMPRODUCT(G8:K8,$O$7:$S$7)</f>
        <v>0.99016025826626297</v>
      </c>
      <c r="M8" s="2">
        <f>SUMPRODUCT(G8:K8,$O$8:$S$8)</f>
        <v>0.96866148565140775</v>
      </c>
      <c r="O8" s="2">
        <f>S4</f>
        <v>3.3261676596525414</v>
      </c>
      <c r="P8" s="2">
        <f>R4</f>
        <v>-3.0145615304526365</v>
      </c>
      <c r="Q8" s="2">
        <f>Q4</f>
        <v>-1.7580010858713826</v>
      </c>
      <c r="R8" s="2">
        <f>P4</f>
        <v>4.2774407279290552</v>
      </c>
      <c r="S8" s="2">
        <f>O4</f>
        <v>-1.8318387131763205</v>
      </c>
    </row>
    <row r="9" spans="2:19" x14ac:dyDescent="0.85">
      <c r="B9" s="1">
        <v>50</v>
      </c>
      <c r="C9" s="4">
        <v>5.6599999999999998E-2</v>
      </c>
      <c r="D9" s="4">
        <v>0.79642000000000002</v>
      </c>
      <c r="E9" s="2">
        <f>(1-C9)/(1-$C$3)</f>
        <v>0.98178790717036113</v>
      </c>
      <c r="F9" s="2">
        <f>D9/$D$3</f>
        <v>0.954413632768497</v>
      </c>
      <c r="G9" s="2">
        <f>COS(RADIANS(B9))</f>
        <v>0.64278760968653936</v>
      </c>
      <c r="H9" s="3">
        <f>G9^2</f>
        <v>0.41317591116653485</v>
      </c>
      <c r="I9" s="3">
        <f>G9^3</f>
        <v>0.26558435631879485</v>
      </c>
      <c r="J9" s="3">
        <f>G9^4</f>
        <v>0.17071433356829629</v>
      </c>
      <c r="K9" s="3">
        <f>G9^5</f>
        <v>0.10973305841359572</v>
      </c>
      <c r="L9" s="2">
        <f>SUMPRODUCT(G9:K9,$O$7:$S$7)</f>
        <v>0.9813014187114153</v>
      </c>
      <c r="M9" s="2">
        <f>SUMPRODUCT(G9:K9,$O$8:$S$8)</f>
        <v>0.9547847441825158</v>
      </c>
    </row>
    <row r="10" spans="2:19" x14ac:dyDescent="0.85">
      <c r="B10" s="1">
        <v>60</v>
      </c>
      <c r="C10" s="4">
        <v>8.7999999999999995E-2</v>
      </c>
      <c r="D10" s="4">
        <v>0.74911000000000005</v>
      </c>
      <c r="E10" s="2">
        <f>(1-C10)/(1-$C$3)</f>
        <v>0.94911020917889488</v>
      </c>
      <c r="F10" s="2">
        <f>D10/$D$3</f>
        <v>0.89771828487884386</v>
      </c>
      <c r="G10" s="2">
        <f>COS(RADIANS(B10))</f>
        <v>0.50000000000000011</v>
      </c>
      <c r="H10" s="3">
        <f>G10^2</f>
        <v>0.25000000000000011</v>
      </c>
      <c r="I10" s="3">
        <f>G10^3</f>
        <v>0.12500000000000008</v>
      </c>
      <c r="J10" s="3">
        <f>G10^4</f>
        <v>6.2500000000000056E-2</v>
      </c>
      <c r="K10" s="3">
        <f>G10^5</f>
        <v>3.1250000000000035E-2</v>
      </c>
      <c r="L10" s="2">
        <f>SUMPRODUCT(G10:K10,$O$7:$S$7)</f>
        <v>0.94715032975313151</v>
      </c>
      <c r="M10" s="2">
        <f>SUMPRODUCT(G10:K10,$O$8:$S$8)</f>
        <v>0.89978839718799486</v>
      </c>
    </row>
    <row r="11" spans="2:19" x14ac:dyDescent="0.85">
      <c r="B11" s="1">
        <v>70</v>
      </c>
      <c r="C11" s="4">
        <v>0.16969999999999999</v>
      </c>
      <c r="D11" s="4">
        <v>0.63976</v>
      </c>
      <c r="E11" s="2">
        <f>(1-C11)/(1-$C$3)</f>
        <v>0.86408575293995216</v>
      </c>
      <c r="F11" s="2">
        <f>D11/$D$3</f>
        <v>0.76667545478513055</v>
      </c>
      <c r="G11" s="2">
        <f>COS(RADIANS(B11))</f>
        <v>0.34202014332566882</v>
      </c>
      <c r="H11" s="3">
        <f>G11^2</f>
        <v>0.11697777844051105</v>
      </c>
      <c r="I11" s="3">
        <f>G11^3</f>
        <v>4.000875654814192E-2</v>
      </c>
      <c r="J11" s="3">
        <f>G11^4</f>
        <v>1.3683800648877292E-2</v>
      </c>
      <c r="K11" s="3">
        <f>G11^5</f>
        <v>4.6801354591688915E-3</v>
      </c>
      <c r="L11" s="2">
        <f>SUMPRODUCT(G11:K11,$O$7:$S$7)</f>
        <v>0.86610009437271884</v>
      </c>
      <c r="M11" s="2">
        <f>SUMPRODUCT(G11:K11,$O$8:$S$8)</f>
        <v>0.76460258431034789</v>
      </c>
    </row>
    <row r="12" spans="2:19" x14ac:dyDescent="0.85">
      <c r="B12" s="1">
        <v>80</v>
      </c>
      <c r="C12" s="4">
        <v>0.38650000000000001</v>
      </c>
      <c r="D12" s="4">
        <v>0.40071000000000001</v>
      </c>
      <c r="E12" s="2">
        <f>(1-C12)/(1-$C$3)</f>
        <v>0.63846394005619722</v>
      </c>
      <c r="F12" s="2">
        <f>D12/$D$3</f>
        <v>0.48020276586055655</v>
      </c>
      <c r="G12" s="2">
        <f>COS(RADIANS(B12))</f>
        <v>0.17364817766693041</v>
      </c>
      <c r="H12" s="3">
        <f>G12^2</f>
        <v>3.0153689607045831E-2</v>
      </c>
      <c r="I12" s="3">
        <f>G12^3</f>
        <v>5.2361332501977675E-3</v>
      </c>
      <c r="J12" s="3">
        <f>G12^4</f>
        <v>9.0924499691806375E-4</v>
      </c>
      <c r="K12" s="3">
        <f>G12^5</f>
        <v>1.5788873676759554E-4</v>
      </c>
      <c r="L12" s="2">
        <f>SUMPRODUCT(G12:K12,$O$7:$S$7)</f>
        <v>0.63760647028015371</v>
      </c>
      <c r="M12" s="2">
        <f>SUMPRODUCT(G12:K12,$O$8:$S$8)</f>
        <v>0.48107768696421549</v>
      </c>
    </row>
    <row r="13" spans="2:19" x14ac:dyDescent="0.85">
      <c r="B13" s="1">
        <v>90</v>
      </c>
      <c r="G13" s="2">
        <f>COS(RADIANS(B13))</f>
        <v>6.1257422745431001E-17</v>
      </c>
      <c r="H13" s="3">
        <f>G13^2</f>
        <v>3.7524718414124473E-33</v>
      </c>
      <c r="I13" s="3">
        <f>G13^3</f>
        <v>2.298667539297282E-49</v>
      </c>
      <c r="J13" s="3">
        <f>G13^4</f>
        <v>1.4081044920593323E-65</v>
      </c>
      <c r="K13" s="3">
        <f>G13^5</f>
        <v>8.6256852139818908E-82</v>
      </c>
      <c r="L13" s="2">
        <f>SUMPRODUCT(G13:K13,$O$7:$S$7)</f>
        <v>3.4573089266685265E-16</v>
      </c>
      <c r="M13" s="2">
        <f>SUMPRODUCT(G13:K13,$O$8:$S$8)</f>
        <v>2.0375245844951658E-16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入射角特性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富樫 英介</dc:creator>
  <cp:lastModifiedBy>富樫 英介</cp:lastModifiedBy>
  <dcterms:created xsi:type="dcterms:W3CDTF">2026-04-30T11:04:50Z</dcterms:created>
  <dcterms:modified xsi:type="dcterms:W3CDTF">2026-04-30T11:11:30Z</dcterms:modified>
</cp:coreProperties>
</file>